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_SpicyInvaders\"/>
    </mc:Choice>
  </mc:AlternateContent>
  <xr:revisionPtr revIDLastSave="0" documentId="13_ncr:1_{3F0FBA48-74D4-4406-AC25-9321199AA5EB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43" i="156" l="1"/>
  <c r="D324" i="156"/>
  <c r="D305" i="156"/>
  <c r="D286" i="156"/>
  <c r="D267" i="156"/>
  <c r="D248" i="156"/>
  <c r="D229" i="156"/>
  <c r="D210" i="156"/>
  <c r="D191" i="156"/>
  <c r="D172" i="156"/>
  <c r="D153" i="156"/>
  <c r="D134" i="156"/>
  <c r="D115" i="156"/>
  <c r="D96" i="156"/>
  <c r="D77" i="156"/>
  <c r="D58" i="156"/>
  <c r="D39" i="156"/>
  <c r="D20" i="156"/>
  <c r="D1" i="156"/>
  <c r="B360" i="156"/>
  <c r="B341" i="156"/>
  <c r="B322" i="156"/>
  <c r="B303" i="156"/>
  <c r="B284" i="156"/>
  <c r="B265" i="156"/>
  <c r="B246" i="156"/>
  <c r="B227" i="156"/>
  <c r="B208" i="156"/>
  <c r="B189" i="156"/>
  <c r="B170" i="156"/>
  <c r="B151" i="156"/>
  <c r="B132" i="156"/>
  <c r="B113" i="156"/>
  <c r="B94" i="156"/>
  <c r="B75" i="156"/>
  <c r="B56" i="156"/>
  <c r="B37" i="156"/>
  <c r="B18" i="156"/>
  <c r="B265" i="155"/>
  <c r="B251" i="155"/>
  <c r="B237" i="155"/>
  <c r="B223" i="155"/>
  <c r="B209" i="155"/>
  <c r="B195" i="155"/>
  <c r="B181" i="155"/>
  <c r="B167" i="155"/>
  <c r="B153" i="155"/>
  <c r="B139" i="155"/>
  <c r="B125" i="155"/>
  <c r="B111" i="155"/>
  <c r="B97" i="155"/>
  <c r="B83" i="155"/>
  <c r="B69" i="155"/>
  <c r="B55" i="155"/>
  <c r="B41" i="155"/>
  <c r="B27" i="155"/>
  <c r="B13" i="155"/>
  <c r="B18" i="154" l="1"/>
  <c r="B13" i="11" l="1"/>
</calcChain>
</file>

<file path=xl/sharedStrings.xml><?xml version="1.0" encoding="utf-8"?>
<sst xmlns="http://schemas.openxmlformats.org/spreadsheetml/2006/main" count="336" uniqueCount="39">
  <si>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</si>
  <si>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</si>
  <si>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</si>
  <si>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</si>
  <si>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</si>
  <si>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</si>
  <si>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</si>
  <si>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</si>
  <si>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</si>
  <si>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</si>
  <si>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</si>
  <si>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</si>
  <si>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</si>
  <si>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</si>
  <si>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</si>
  <si>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</si>
  <si>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</si>
  <si>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</si>
  <si>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</si>
  <si>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</si>
  <si>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</si>
  <si>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</si>
  <si>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</si>
  <si>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</si>
  <si>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P_Dev</t>
  </si>
  <si>
    <t>Dany Carneiro</t>
  </si>
  <si>
    <t>FIN1</t>
  </si>
  <si>
    <t>Vennes</t>
  </si>
  <si>
    <t>réalisation</t>
  </si>
  <si>
    <t>diagramme</t>
  </si>
  <si>
    <t>documentation</t>
  </si>
  <si>
    <t>Max. 12</t>
  </si>
  <si>
    <t>STOP</t>
  </si>
  <si>
    <t>Autre</t>
  </si>
  <si>
    <t xml:space="preserve">prendre connaissance du projet </t>
  </si>
  <si>
    <t>préparer la documentation (Git, etc.)</t>
  </si>
  <si>
    <t>se renseigner sur le site donné et réfléchir au moyen de faire le projet</t>
  </si>
  <si>
    <t>j'ai pris connaissance du projet en lisant le cahier des charges et survolant le site donné</t>
  </si>
  <si>
    <t>commencer le journal de travail et faire la plannification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</si>
</sst>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</xdr:row>
          <xdr:rowOff>228600</xdr:rowOff>
        </xdr:from>
        <xdr:to>
          <xdr:col>6</xdr:col>
          <xdr:colOff>95250</xdr:colOff>
          <xdr:row>7</xdr:row>
          <xdr:rowOff>9525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DB367C7A-2705-4039-8CE9-463EC945A8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12A87DD4-5304-49B4-A43A-28CA828ADD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27" sqref="C27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45309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45443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19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33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autoPict="0" r:id="rId6">
            <anchor moveWithCells="1">
              <from>
                <xdr:col>4</xdr:col>
                <xdr:colOff>9525</xdr:colOff>
                <xdr:row>4</xdr:row>
                <xdr:rowOff>228600</xdr:rowOff>
              </from>
              <to>
                <xdr:col>6</xdr:col>
                <xdr:colOff>95250</xdr:colOff>
                <xdr:row>7</xdr:row>
                <xdr:rowOff>9525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1F962-40D9-41ED-8B93-DC389826E53E}">
  <sheetPr codeName="Feuil5"/>
  <dimension ref="A1:I267"/>
  <sheetViews>
    <sheetView workbookViewId="0">
      <selection activeCell="C5" sqref="C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33</v>
      </c>
      <c r="B3" s="4">
        <v>3</v>
      </c>
      <c r="C3" s="95" t="s">
        <v>34</v>
      </c>
      <c r="D3" s="9"/>
    </row>
    <row r="4" spans="1:4" s="53" customFormat="1" x14ac:dyDescent="0.25">
      <c r="A4" s="1" t="s">
        <v>30</v>
      </c>
      <c r="B4" s="2">
        <v>3</v>
      </c>
      <c r="C4" s="96" t="s">
        <v>35</v>
      </c>
      <c r="D4" s="10"/>
    </row>
    <row r="5" spans="1:4" s="53" customFormat="1" x14ac:dyDescent="0.25">
      <c r="A5" s="1" t="s">
        <v>33</v>
      </c>
      <c r="B5" s="2">
        <v>6</v>
      </c>
      <c r="C5" s="96" t="s">
        <v>36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92" t="s">
        <v>31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92" t="s">
        <v>31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92" t="s">
        <v>31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92" t="s">
        <v>31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92" t="s">
        <v>31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92" t="s">
        <v>31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92" t="s">
        <v>31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92" t="s">
        <v>31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92" t="s">
        <v>31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92" t="s">
        <v>31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92" t="s">
        <v>31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92" t="s">
        <v>31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92" t="s">
        <v>31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92" t="s">
        <v>31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92" t="s">
        <v>31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92" t="s">
        <v>31</v>
      </c>
      <c r="D223" s="13"/>
    </row>
    <row r="224" spans="1:4" ht="15" thickBot="1" x14ac:dyDescent="0.35">
      <c r="A224" s="14"/>
      <c r="B224" s="14"/>
      <c r="C224" s="14"/>
      <c r="D224" s="14"/>
    </row>
    <row r="225" spans="1:4" ht="18.75" thickBot="1" x14ac:dyDescent="0.3">
      <c r="A225" s="6" t="s">
        <v>14</v>
      </c>
      <c r="B225" s="7">
        <v>17</v>
      </c>
      <c r="C225" s="17"/>
      <c r="D225" s="87"/>
    </row>
    <row r="226" spans="1:4" ht="27.75" thickBot="1" x14ac:dyDescent="0.3">
      <c r="A226" s="8" t="s">
        <v>3</v>
      </c>
      <c r="B226" s="18" t="s">
        <v>15</v>
      </c>
      <c r="C226" s="8" t="s">
        <v>7</v>
      </c>
      <c r="D226" s="8" t="s">
        <v>13</v>
      </c>
    </row>
    <row r="227" spans="1:4" x14ac:dyDescent="0.25">
      <c r="A227" s="5"/>
      <c r="B227" s="4"/>
      <c r="C227" s="9"/>
      <c r="D227" s="9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1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2"/>
      <c r="B235" s="2"/>
      <c r="C235" s="10"/>
      <c r="D235" s="10"/>
    </row>
    <row r="236" spans="1:4" ht="14.25" thickBot="1" x14ac:dyDescent="0.3">
      <c r="A236" s="3"/>
      <c r="B236" s="3"/>
      <c r="C236" s="11"/>
      <c r="D236" s="11"/>
    </row>
    <row r="237" spans="1:4" ht="14.25" thickBot="1" x14ac:dyDescent="0.3">
      <c r="A237" s="12" t="s">
        <v>22</v>
      </c>
      <c r="B237" s="12">
        <f>SUM(B227:B236)</f>
        <v>0</v>
      </c>
      <c r="C237" s="92" t="s">
        <v>31</v>
      </c>
      <c r="D237" s="13"/>
    </row>
    <row r="238" spans="1:4" ht="15" thickBot="1" x14ac:dyDescent="0.35">
      <c r="A238" s="14"/>
      <c r="B238" s="14"/>
      <c r="C238" s="14"/>
      <c r="D238" s="14"/>
    </row>
    <row r="239" spans="1:4" ht="18.75" thickBot="1" x14ac:dyDescent="0.3">
      <c r="A239" s="6" t="s">
        <v>14</v>
      </c>
      <c r="B239" s="7">
        <v>18</v>
      </c>
      <c r="C239" s="17"/>
      <c r="D239" s="87"/>
    </row>
    <row r="240" spans="1:4" ht="27.75" thickBot="1" x14ac:dyDescent="0.3">
      <c r="A240" s="8" t="s">
        <v>3</v>
      </c>
      <c r="B240" s="18" t="s">
        <v>15</v>
      </c>
      <c r="C240" s="8" t="s">
        <v>7</v>
      </c>
      <c r="D240" s="8" t="s">
        <v>13</v>
      </c>
    </row>
    <row r="241" spans="1:4" x14ac:dyDescent="0.25">
      <c r="A241" s="5"/>
      <c r="B241" s="4"/>
      <c r="C241" s="9"/>
      <c r="D241" s="9"/>
    </row>
    <row r="242" spans="1:4" x14ac:dyDescent="0.25">
      <c r="A242" s="1"/>
      <c r="B242" s="2"/>
      <c r="C242" s="10"/>
      <c r="D242" s="10"/>
    </row>
    <row r="243" spans="1:4" x14ac:dyDescent="0.25">
      <c r="A243" s="1"/>
      <c r="B243" s="2"/>
      <c r="C243" s="10"/>
      <c r="D243" s="10"/>
    </row>
    <row r="244" spans="1:4" x14ac:dyDescent="0.25">
      <c r="A244" s="1"/>
      <c r="B244" s="2"/>
      <c r="C244" s="10"/>
      <c r="D244" s="10"/>
    </row>
    <row r="245" spans="1:4" x14ac:dyDescent="0.25">
      <c r="A245" s="1"/>
      <c r="B245" s="2"/>
      <c r="C245" s="10"/>
      <c r="D245" s="10"/>
    </row>
    <row r="246" spans="1:4" x14ac:dyDescent="0.25">
      <c r="A246" s="1"/>
      <c r="B246" s="2"/>
      <c r="C246" s="10"/>
      <c r="D246" s="10"/>
    </row>
    <row r="247" spans="1:4" x14ac:dyDescent="0.25">
      <c r="A247" s="2"/>
      <c r="B247" s="2"/>
      <c r="C247" s="10"/>
      <c r="D247" s="10"/>
    </row>
    <row r="248" spans="1:4" x14ac:dyDescent="0.25">
      <c r="A248" s="2"/>
      <c r="B248" s="2"/>
      <c r="C248" s="10"/>
      <c r="D248" s="10"/>
    </row>
    <row r="249" spans="1:4" x14ac:dyDescent="0.25">
      <c r="A249" s="2"/>
      <c r="B249" s="2"/>
      <c r="C249" s="10"/>
      <c r="D249" s="10"/>
    </row>
    <row r="250" spans="1:4" ht="14.25" thickBot="1" x14ac:dyDescent="0.3">
      <c r="A250" s="3"/>
      <c r="B250" s="3"/>
      <c r="C250" s="11"/>
      <c r="D250" s="11"/>
    </row>
    <row r="251" spans="1:4" ht="14.25" thickBot="1" x14ac:dyDescent="0.3">
      <c r="A251" s="12" t="s">
        <v>22</v>
      </c>
      <c r="B251" s="12">
        <f>SUM(B241:B250)</f>
        <v>0</v>
      </c>
      <c r="C251" s="92" t="s">
        <v>31</v>
      </c>
      <c r="D251" s="13"/>
    </row>
    <row r="252" spans="1:4" ht="15" thickBot="1" x14ac:dyDescent="0.35">
      <c r="A252" s="14"/>
      <c r="B252" s="14"/>
      <c r="C252" s="14"/>
      <c r="D252" s="14"/>
    </row>
    <row r="253" spans="1:4" ht="18.75" thickBot="1" x14ac:dyDescent="0.3">
      <c r="A253" s="6" t="s">
        <v>14</v>
      </c>
      <c r="B253" s="7">
        <v>19</v>
      </c>
      <c r="C253" s="17"/>
      <c r="D253" s="87"/>
    </row>
    <row r="254" spans="1:4" ht="27.75" thickBot="1" x14ac:dyDescent="0.3">
      <c r="A254" s="8" t="s">
        <v>3</v>
      </c>
      <c r="B254" s="18" t="s">
        <v>15</v>
      </c>
      <c r="C254" s="8" t="s">
        <v>7</v>
      </c>
      <c r="D254" s="8" t="s">
        <v>13</v>
      </c>
    </row>
    <row r="255" spans="1:4" x14ac:dyDescent="0.25">
      <c r="A255" s="5"/>
      <c r="B255" s="4"/>
      <c r="C255" s="9"/>
      <c r="D255" s="9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1"/>
      <c r="B259" s="2"/>
      <c r="C259" s="10"/>
      <c r="D259" s="10"/>
    </row>
    <row r="260" spans="1:4" x14ac:dyDescent="0.25">
      <c r="A260" s="1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2"/>
      <c r="B262" s="2"/>
      <c r="C262" s="10"/>
      <c r="D262" s="10"/>
    </row>
    <row r="263" spans="1:4" x14ac:dyDescent="0.25">
      <c r="A263" s="2"/>
      <c r="B263" s="2"/>
      <c r="C263" s="10"/>
      <c r="D263" s="10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12" t="s">
        <v>22</v>
      </c>
      <c r="B265" s="12">
        <f>SUM(B255:B264)</f>
        <v>0</v>
      </c>
      <c r="C265" s="92" t="s">
        <v>31</v>
      </c>
      <c r="D265" s="13"/>
    </row>
    <row r="266" spans="1:4" ht="14.25" x14ac:dyDescent="0.3">
      <c r="A266" s="14"/>
      <c r="B266" s="14"/>
      <c r="C266" s="14"/>
      <c r="D266" s="14"/>
    </row>
    <row r="267" spans="1:4" x14ac:dyDescent="0.25">
      <c r="A267" s="93" t="s">
        <v>32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 A241:A250 A255:A264" xr:uid="{63C9C0F7-C977-447E-86F8-1457EE1CA393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 B251 B265" xr:uid="{A7E1C845-AEDE-488F-9CA3-3498D0D77D63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 B241:B250 B255:B264" xr:uid="{230CD0B0-4F9D-42EA-AEDF-1C8B88C6962C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8259045A-1D49-49A4-AFFD-E9F17EDECBFF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BCBD0-78B9-45D0-87AF-7F87B6F0830F}">
  <sheetPr codeName="Feuil9"/>
  <dimension ref="A1:I362"/>
  <sheetViews>
    <sheetView tabSelected="1" workbookViewId="0">
      <selection activeCell="B5" sqref="B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45309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33</v>
      </c>
      <c r="B3" s="4">
        <v>3</v>
      </c>
      <c r="C3" s="95" t="s">
        <v>37</v>
      </c>
      <c r="D3" s="9"/>
    </row>
    <row r="4" spans="1:4" s="53" customFormat="1" x14ac:dyDescent="0.25">
      <c r="A4" s="1" t="s">
        <v>30</v>
      </c>
      <c r="B4" s="2">
        <v>1</v>
      </c>
      <c r="C4" s="96" t="s">
        <v>38</v>
      </c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4</v>
      </c>
      <c r="C18" s="94" t="s">
        <v>31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45316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94" t="s">
        <v>31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45323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4" t="s">
        <v>31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45330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4" t="s">
        <v>31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45337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4" t="s">
        <v>31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45344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4" t="s">
        <v>31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45351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4" t="s">
        <v>31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45358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4" t="s">
        <v>31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45365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94" t="s">
        <v>31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45372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94" t="s">
        <v>31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$D$172+7</f>
        <v>45379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0</v>
      </c>
      <c r="C208" s="94" t="s">
        <v>31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$D$191+7</f>
        <v>45386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0</v>
      </c>
      <c r="C227" s="94" t="s">
        <v>31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$D$210+7</f>
        <v>45393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0</v>
      </c>
      <c r="C246" s="94" t="s">
        <v>31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$D$229+7</f>
        <v>45400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0</v>
      </c>
      <c r="C265" s="94" t="s">
        <v>31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$D$248+7</f>
        <v>45407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0</v>
      </c>
      <c r="C284" s="94" t="s">
        <v>31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$D$267+7</f>
        <v>45414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0</v>
      </c>
      <c r="C303" s="94" t="s">
        <v>31</v>
      </c>
      <c r="D303" s="49"/>
    </row>
    <row r="304" spans="1:4" ht="15" thickBot="1" x14ac:dyDescent="0.35">
      <c r="A304" s="50"/>
      <c r="B304" s="50"/>
      <c r="C304" s="50"/>
      <c r="D304" s="50"/>
    </row>
    <row r="305" spans="1:4" ht="18.75" thickBot="1" x14ac:dyDescent="0.3">
      <c r="A305" s="43" t="s">
        <v>14</v>
      </c>
      <c r="B305" s="44">
        <v>17</v>
      </c>
      <c r="C305" s="45" t="s">
        <v>23</v>
      </c>
      <c r="D305" s="54">
        <f>$D$286+7</f>
        <v>45421</v>
      </c>
    </row>
    <row r="306" spans="1:4" ht="27.75" thickBot="1" x14ac:dyDescent="0.3">
      <c r="A306" s="46" t="s">
        <v>3</v>
      </c>
      <c r="B306" s="47" t="s">
        <v>15</v>
      </c>
      <c r="C306" s="46" t="s">
        <v>7</v>
      </c>
      <c r="D306" s="46" t="s">
        <v>13</v>
      </c>
    </row>
    <row r="307" spans="1:4" x14ac:dyDescent="0.25">
      <c r="A307" s="5"/>
      <c r="B307" s="4"/>
      <c r="C307" s="9"/>
      <c r="D307" s="9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1"/>
      <c r="B313" s="2"/>
      <c r="C313" s="10"/>
      <c r="D313" s="10"/>
    </row>
    <row r="314" spans="1:4" x14ac:dyDescent="0.25">
      <c r="A314" s="1"/>
      <c r="B314" s="2"/>
      <c r="C314" s="10"/>
      <c r="D314" s="10"/>
    </row>
    <row r="315" spans="1:4" x14ac:dyDescent="0.25">
      <c r="A315" s="1"/>
      <c r="B315" s="2"/>
      <c r="C315" s="10"/>
      <c r="D315" s="10"/>
    </row>
    <row r="316" spans="1:4" x14ac:dyDescent="0.25">
      <c r="A316" s="2"/>
      <c r="B316" s="2"/>
      <c r="C316" s="10"/>
      <c r="D316" s="10"/>
    </row>
    <row r="317" spans="1:4" x14ac:dyDescent="0.25">
      <c r="A317" s="2"/>
      <c r="B317" s="2"/>
      <c r="C317" s="10"/>
      <c r="D317" s="10"/>
    </row>
    <row r="318" spans="1:4" x14ac:dyDescent="0.25">
      <c r="A318" s="2"/>
      <c r="B318" s="2"/>
      <c r="C318" s="10"/>
      <c r="D318" s="10"/>
    </row>
    <row r="319" spans="1:4" x14ac:dyDescent="0.25">
      <c r="A319" s="51"/>
      <c r="B319" s="51"/>
      <c r="C319" s="52"/>
      <c r="D319" s="52"/>
    </row>
    <row r="320" spans="1:4" x14ac:dyDescent="0.25">
      <c r="A320" s="51"/>
      <c r="B320" s="51"/>
      <c r="C320" s="52"/>
      <c r="D320" s="52"/>
    </row>
    <row r="321" spans="1:4" ht="14.25" thickBot="1" x14ac:dyDescent="0.3">
      <c r="A321" s="3"/>
      <c r="B321" s="3"/>
      <c r="C321" s="11"/>
      <c r="D321" s="11"/>
    </row>
    <row r="322" spans="1:4" ht="14.25" thickBot="1" x14ac:dyDescent="0.3">
      <c r="A322" s="48" t="s">
        <v>22</v>
      </c>
      <c r="B322" s="48">
        <f>SUM(B307:B321)</f>
        <v>0</v>
      </c>
      <c r="C322" s="94" t="s">
        <v>31</v>
      </c>
      <c r="D322" s="49"/>
    </row>
    <row r="323" spans="1:4" ht="15" thickBot="1" x14ac:dyDescent="0.35">
      <c r="A323" s="50"/>
      <c r="B323" s="50"/>
      <c r="C323" s="50"/>
      <c r="D323" s="50"/>
    </row>
    <row r="324" spans="1:4" ht="18.75" thickBot="1" x14ac:dyDescent="0.3">
      <c r="A324" s="43" t="s">
        <v>14</v>
      </c>
      <c r="B324" s="44">
        <v>18</v>
      </c>
      <c r="C324" s="45" t="s">
        <v>23</v>
      </c>
      <c r="D324" s="54">
        <f>$D$305+7</f>
        <v>45428</v>
      </c>
    </row>
    <row r="325" spans="1:4" ht="27.75" thickBot="1" x14ac:dyDescent="0.3">
      <c r="A325" s="46" t="s">
        <v>3</v>
      </c>
      <c r="B325" s="47" t="s">
        <v>15</v>
      </c>
      <c r="C325" s="46" t="s">
        <v>7</v>
      </c>
      <c r="D325" s="46" t="s">
        <v>13</v>
      </c>
    </row>
    <row r="326" spans="1:4" x14ac:dyDescent="0.25">
      <c r="A326" s="5"/>
      <c r="B326" s="4"/>
      <c r="C326" s="9"/>
      <c r="D326" s="9"/>
    </row>
    <row r="327" spans="1:4" x14ac:dyDescent="0.25">
      <c r="A327" s="1"/>
      <c r="B327" s="2"/>
      <c r="C327" s="10"/>
      <c r="D327" s="10"/>
    </row>
    <row r="328" spans="1:4" x14ac:dyDescent="0.25">
      <c r="A328" s="1"/>
      <c r="B328" s="2"/>
      <c r="C328" s="10"/>
      <c r="D328" s="10"/>
    </row>
    <row r="329" spans="1:4" x14ac:dyDescent="0.25">
      <c r="A329" s="1"/>
      <c r="B329" s="2"/>
      <c r="C329" s="10"/>
      <c r="D329" s="10"/>
    </row>
    <row r="330" spans="1:4" x14ac:dyDescent="0.25">
      <c r="A330" s="1"/>
      <c r="B330" s="2"/>
      <c r="C330" s="10"/>
      <c r="D330" s="10"/>
    </row>
    <row r="331" spans="1:4" x14ac:dyDescent="0.25">
      <c r="A331" s="1"/>
      <c r="B331" s="2"/>
      <c r="C331" s="10"/>
      <c r="D331" s="10"/>
    </row>
    <row r="332" spans="1:4" x14ac:dyDescent="0.25">
      <c r="A332" s="1"/>
      <c r="B332" s="2"/>
      <c r="C332" s="10"/>
      <c r="D332" s="10"/>
    </row>
    <row r="333" spans="1:4" x14ac:dyDescent="0.25">
      <c r="A333" s="1"/>
      <c r="B333" s="2"/>
      <c r="C333" s="10"/>
      <c r="D333" s="10"/>
    </row>
    <row r="334" spans="1:4" x14ac:dyDescent="0.25">
      <c r="A334" s="1"/>
      <c r="B334" s="2"/>
      <c r="C334" s="10"/>
      <c r="D334" s="10"/>
    </row>
    <row r="335" spans="1:4" x14ac:dyDescent="0.25">
      <c r="A335" s="2"/>
      <c r="B335" s="2"/>
      <c r="C335" s="10"/>
      <c r="D335" s="10"/>
    </row>
    <row r="336" spans="1:4" x14ac:dyDescent="0.25">
      <c r="A336" s="2"/>
      <c r="B336" s="2"/>
      <c r="C336" s="10"/>
      <c r="D336" s="10"/>
    </row>
    <row r="337" spans="1:4" x14ac:dyDescent="0.25">
      <c r="A337" s="2"/>
      <c r="B337" s="2"/>
      <c r="C337" s="10"/>
      <c r="D337" s="10"/>
    </row>
    <row r="338" spans="1:4" x14ac:dyDescent="0.25">
      <c r="A338" s="51"/>
      <c r="B338" s="51"/>
      <c r="C338" s="52"/>
      <c r="D338" s="52"/>
    </row>
    <row r="339" spans="1:4" x14ac:dyDescent="0.25">
      <c r="A339" s="51"/>
      <c r="B339" s="51"/>
      <c r="C339" s="52"/>
      <c r="D339" s="52"/>
    </row>
    <row r="340" spans="1:4" ht="14.25" thickBot="1" x14ac:dyDescent="0.3">
      <c r="A340" s="3"/>
      <c r="B340" s="3"/>
      <c r="C340" s="11"/>
      <c r="D340" s="11"/>
    </row>
    <row r="341" spans="1:4" ht="14.25" thickBot="1" x14ac:dyDescent="0.3">
      <c r="A341" s="48" t="s">
        <v>22</v>
      </c>
      <c r="B341" s="48">
        <f>SUM(B326:B340)</f>
        <v>0</v>
      </c>
      <c r="C341" s="94" t="s">
        <v>31</v>
      </c>
      <c r="D341" s="49"/>
    </row>
    <row r="342" spans="1:4" ht="15" thickBot="1" x14ac:dyDescent="0.35">
      <c r="A342" s="50"/>
      <c r="B342" s="50"/>
      <c r="C342" s="50"/>
      <c r="D342" s="50"/>
    </row>
    <row r="343" spans="1:4" ht="18.75" thickBot="1" x14ac:dyDescent="0.3">
      <c r="A343" s="43" t="s">
        <v>14</v>
      </c>
      <c r="B343" s="44">
        <v>19</v>
      </c>
      <c r="C343" s="45" t="s">
        <v>23</v>
      </c>
      <c r="D343" s="54">
        <f>$D$324+7</f>
        <v>45435</v>
      </c>
    </row>
    <row r="344" spans="1:4" ht="27.75" thickBot="1" x14ac:dyDescent="0.3">
      <c r="A344" s="46" t="s">
        <v>3</v>
      </c>
      <c r="B344" s="47" t="s">
        <v>15</v>
      </c>
      <c r="C344" s="46" t="s">
        <v>7</v>
      </c>
      <c r="D344" s="46" t="s">
        <v>13</v>
      </c>
    </row>
    <row r="345" spans="1:4" x14ac:dyDescent="0.25">
      <c r="A345" s="5"/>
      <c r="B345" s="4"/>
      <c r="C345" s="9"/>
      <c r="D345" s="9"/>
    </row>
    <row r="346" spans="1:4" x14ac:dyDescent="0.25">
      <c r="A346" s="1"/>
      <c r="B346" s="2"/>
      <c r="C346" s="10"/>
      <c r="D346" s="10"/>
    </row>
    <row r="347" spans="1:4" x14ac:dyDescent="0.25">
      <c r="A347" s="1"/>
      <c r="B347" s="2"/>
      <c r="C347" s="10"/>
      <c r="D347" s="10"/>
    </row>
    <row r="348" spans="1:4" x14ac:dyDescent="0.25">
      <c r="A348" s="1"/>
      <c r="B348" s="2"/>
      <c r="C348" s="10"/>
      <c r="D348" s="10"/>
    </row>
    <row r="349" spans="1:4" x14ac:dyDescent="0.25">
      <c r="A349" s="1"/>
      <c r="B349" s="2"/>
      <c r="C349" s="10"/>
      <c r="D349" s="10"/>
    </row>
    <row r="350" spans="1:4" x14ac:dyDescent="0.25">
      <c r="A350" s="1"/>
      <c r="B350" s="2"/>
      <c r="C350" s="10"/>
      <c r="D350" s="10"/>
    </row>
    <row r="351" spans="1:4" x14ac:dyDescent="0.25">
      <c r="A351" s="1"/>
      <c r="B351" s="2"/>
      <c r="C351" s="10"/>
      <c r="D351" s="10"/>
    </row>
    <row r="352" spans="1:4" x14ac:dyDescent="0.25">
      <c r="A352" s="1"/>
      <c r="B352" s="2"/>
      <c r="C352" s="10"/>
      <c r="D352" s="10"/>
    </row>
    <row r="353" spans="1:4" x14ac:dyDescent="0.25">
      <c r="A353" s="1"/>
      <c r="B353" s="2"/>
      <c r="C353" s="10"/>
      <c r="D353" s="10"/>
    </row>
    <row r="354" spans="1:4" x14ac:dyDescent="0.25">
      <c r="A354" s="2"/>
      <c r="B354" s="2"/>
      <c r="C354" s="10"/>
      <c r="D354" s="10"/>
    </row>
    <row r="355" spans="1:4" x14ac:dyDescent="0.25">
      <c r="A355" s="2"/>
      <c r="B355" s="2"/>
      <c r="C355" s="10"/>
      <c r="D355" s="10"/>
    </row>
    <row r="356" spans="1:4" x14ac:dyDescent="0.25">
      <c r="A356" s="2"/>
      <c r="B356" s="2"/>
      <c r="C356" s="10"/>
      <c r="D356" s="10"/>
    </row>
    <row r="357" spans="1:4" x14ac:dyDescent="0.25">
      <c r="A357" s="51"/>
      <c r="B357" s="51"/>
      <c r="C357" s="52"/>
      <c r="D357" s="52"/>
    </row>
    <row r="358" spans="1:4" x14ac:dyDescent="0.25">
      <c r="A358" s="51"/>
      <c r="B358" s="51"/>
      <c r="C358" s="52"/>
      <c r="D358" s="52"/>
    </row>
    <row r="359" spans="1:4" ht="14.25" thickBot="1" x14ac:dyDescent="0.3">
      <c r="A359" s="3"/>
      <c r="B359" s="3"/>
      <c r="C359" s="11"/>
      <c r="D359" s="11"/>
    </row>
    <row r="360" spans="1:4" ht="14.25" thickBot="1" x14ac:dyDescent="0.3">
      <c r="A360" s="48" t="s">
        <v>22</v>
      </c>
      <c r="B360" s="48">
        <f>SUM(B345:B359)</f>
        <v>0</v>
      </c>
      <c r="C360" s="94" t="s">
        <v>31</v>
      </c>
      <c r="D360" s="49"/>
    </row>
    <row r="361" spans="1:4" ht="14.25" x14ac:dyDescent="0.3">
      <c r="A361" s="50"/>
      <c r="B361" s="50"/>
      <c r="C361" s="50"/>
      <c r="D361" s="50"/>
    </row>
    <row r="362" spans="1:4" x14ac:dyDescent="0.25">
      <c r="A362" s="93" t="s">
        <v>32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B81835C6-D617-4136-AE17-B2ABFC8817EE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 B326:B340 B345:B359" xr:uid="{9AAE6C48-2509-4251-AEB0-F64F6F49692C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 B341 B360" xr:uid="{48BE04A5-6F0C-4BCC-82C0-6AF4AFAD2A12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 A326:A340 A345:A359" xr:uid="{4A04F54C-1E5C-4BA3-86E7-99500F895D81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Dany Carneiro</dc:creator>
  <cp:lastModifiedBy>Dany Carneiro</cp:lastModifiedBy>
  <cp:lastPrinted>2013-08-29T11:33:15Z</cp:lastPrinted>
  <dcterms:created xsi:type="dcterms:W3CDTF">1996-10-21T11:03:58Z</dcterms:created>
  <dcterms:modified xsi:type="dcterms:W3CDTF">2024-01-18T13:13:41Z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